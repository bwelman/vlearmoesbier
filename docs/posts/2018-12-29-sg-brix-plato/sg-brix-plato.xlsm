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ivers\brouwprogramma\resources\"/>
    </mc:Choice>
  </mc:AlternateContent>
  <xr:revisionPtr revIDLastSave="0" documentId="13_ncr:1_{1283233A-0718-4015-9691-85B7F9B3C14C}" xr6:coauthVersionLast="40" xr6:coauthVersionMax="40" xr10:uidLastSave="{00000000-0000-0000-0000-000000000000}"/>
  <bookViews>
    <workbookView xWindow="0" yWindow="0" windowWidth="28800" windowHeight="11565" xr2:uid="{95806030-BCA9-447C-A8BD-8F1D734712A4}"/>
  </bookViews>
  <sheets>
    <sheet name="leesme" sheetId="3" r:id="rId1"/>
    <sheet name="omrekenen" sheetId="1" r:id="rId2"/>
    <sheet name="functies" sheetId="4" r:id="rId3"/>
  </sheets>
  <functionGroups builtInGroupCount="19"/>
  <definedNames>
    <definedName name="PlatoBrixFactor">omrekenen!$A$15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0" i="1" l="1"/>
  <c r="F19" i="1" s="1"/>
  <c r="H23" i="1"/>
  <c r="F23" i="1"/>
  <c r="H22" i="1"/>
  <c r="H21" i="1" s="1"/>
  <c r="F22" i="1"/>
  <c r="F21" i="1" s="1"/>
  <c r="F5" i="1"/>
  <c r="F4" i="1"/>
  <c r="D6" i="1"/>
  <c r="D4" i="1"/>
  <c r="B6" i="1"/>
  <c r="B5" i="1"/>
  <c r="B10" i="1" s="1"/>
  <c r="B11" i="1" s="1"/>
  <c r="D22" i="1"/>
  <c r="D21" i="1" s="1"/>
  <c r="D23" i="1"/>
  <c r="B23" i="1"/>
  <c r="B22" i="1"/>
  <c r="B21" i="1" s="1"/>
  <c r="D10" i="1"/>
  <c r="D11" i="1" s="1"/>
  <c r="F7" i="1"/>
  <c r="F8" i="1" s="1"/>
  <c r="D7" i="1"/>
  <c r="D8" i="1" s="1"/>
  <c r="F6" i="1"/>
  <c r="D5" i="1"/>
  <c r="B4" i="1"/>
  <c r="B23" i="4"/>
  <c r="C23" i="4"/>
  <c r="B17" i="4"/>
  <c r="C17" i="4"/>
  <c r="C20" i="4"/>
  <c r="C19" i="4"/>
  <c r="C18" i="4"/>
  <c r="B12" i="4"/>
  <c r="B11" i="4"/>
  <c r="B10" i="4"/>
  <c r="B13" i="4"/>
  <c r="C13" i="4"/>
  <c r="C10" i="4"/>
  <c r="C12" i="4"/>
  <c r="C11" i="4"/>
  <c r="B5" i="4"/>
  <c r="B4" i="4"/>
  <c r="B3" i="4"/>
  <c r="B6" i="4" s="1"/>
  <c r="I20" i="1"/>
  <c r="C6" i="1"/>
  <c r="C7" i="1"/>
  <c r="E11" i="1"/>
  <c r="I21" i="1"/>
  <c r="C11" i="1"/>
  <c r="C4" i="4"/>
  <c r="G10" i="1"/>
  <c r="E4" i="1"/>
  <c r="G11" i="1"/>
  <c r="C23" i="1"/>
  <c r="C19" i="1"/>
  <c r="E10" i="1"/>
  <c r="C3" i="4"/>
  <c r="E8" i="1"/>
  <c r="G7" i="1"/>
  <c r="G4" i="1"/>
  <c r="G23" i="1"/>
  <c r="E19" i="1"/>
  <c r="C5" i="1"/>
  <c r="G5" i="1"/>
  <c r="I19" i="1"/>
  <c r="G20" i="1"/>
  <c r="E6" i="1"/>
  <c r="C10" i="1"/>
  <c r="E21" i="1"/>
  <c r="E7" i="1"/>
  <c r="C8" i="1"/>
  <c r="C6" i="4"/>
  <c r="G8" i="1"/>
  <c r="E22" i="1"/>
  <c r="C21" i="1"/>
  <c r="E20" i="1"/>
  <c r="G21" i="1"/>
  <c r="C20" i="1"/>
  <c r="I22" i="1"/>
  <c r="C5" i="4"/>
  <c r="G19" i="1"/>
  <c r="B18" i="4"/>
  <c r="B19" i="4"/>
  <c r="B20" i="4"/>
  <c r="B20" i="1" l="1"/>
  <c r="B19" i="1" s="1"/>
  <c r="H20" i="1"/>
  <c r="H19" i="1" s="1"/>
  <c r="D20" i="1"/>
  <c r="D19" i="1" s="1"/>
  <c r="F10" i="1"/>
  <c r="F11" i="1" s="1"/>
  <c r="B7" i="1"/>
  <c r="B8" i="1" s="1"/>
</calcChain>
</file>

<file path=xl/sharedStrings.xml><?xml version="1.0" encoding="utf-8"?>
<sst xmlns="http://schemas.openxmlformats.org/spreadsheetml/2006/main" count="61" uniqueCount="33">
  <si>
    <t>Dichtheid (gr/lit)</t>
  </si>
  <si>
    <t>SG</t>
  </si>
  <si>
    <t>SG_punten</t>
  </si>
  <si>
    <t>Plato</t>
  </si>
  <si>
    <t>Plato (eenvoudig)</t>
  </si>
  <si>
    <t>Plato (Clerck)</t>
  </si>
  <si>
    <t>Invoeren:</t>
  </si>
  <si>
    <t>Brix</t>
  </si>
  <si>
    <t>Plato2Brix factor</t>
  </si>
  <si>
    <t>Plato-SG via eenvoudige benaderingsformule</t>
  </si>
  <si>
    <t>Plato-SG via formule Clerck</t>
  </si>
  <si>
    <t>In deze gekleurde cellen kun je een getal invoeren.</t>
  </si>
  <si>
    <t>In deze gekleurde cellen wordt een waarde berekend.</t>
  </si>
  <si>
    <t>De gebruikte formules staan in de cel rechts van de berekeningscel. Een toelichting op deze formules vind je in het artikel "SG-BRIX_PLATO"op de website.</t>
  </si>
  <si>
    <t>Werkblad omrekenen</t>
  </si>
  <si>
    <t>Werkblad functies</t>
  </si>
  <si>
    <t>Plato2Brix(plato)</t>
  </si>
  <si>
    <t>Zet de meegegeven waarde voor plato om naar Brix via factor 1,04.</t>
  </si>
  <si>
    <t>Zet de meegegeven waarde voor brix om naar Plato via factor 1,04.</t>
  </si>
  <si>
    <t>Brix2Plato(brix)</t>
  </si>
  <si>
    <t>SG2Plato(sg; methode)</t>
  </si>
  <si>
    <t>Zet de meegegeven waarde voor sg om naar Plato. Optioneel kan de berekeingsmethode, "simpel" (default) of "clerck" worden meegegeven.</t>
  </si>
  <si>
    <t>Zet de meegegeven waarde voor plato om naar SG. Optioneel kan de berekeingsmethode, "simpel" (default) of "clerck" worden meegegeven.</t>
  </si>
  <si>
    <t>Plato2SG(plato;methode)</t>
  </si>
  <si>
    <t>Voor gebruik in een brouwprogramma in Excel zijn voor een aantal omrekeningen eigen gedefinieerde formules gemaakt. In dit werkblad wordt het gebruik van deze formules gedemonstreerd. Deze functies zijn:</t>
  </si>
  <si>
    <t>Plato (clerck)</t>
  </si>
  <si>
    <t>Brix (Plato eenvoudig)</t>
  </si>
  <si>
    <t>SG (eenvoudig)</t>
  </si>
  <si>
    <t>SG (clerck)</t>
  </si>
  <si>
    <t>Voorbeeld geneste functies:</t>
  </si>
  <si>
    <t>In dit werkblad kun je vanuit een gegeven waarde voor een meeteenheid de andere waarden berekenen.</t>
  </si>
  <si>
    <t>Algemeen</t>
  </si>
  <si>
    <t>De werkbladen zijn beveiligd zonder wachtwoord.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</si>
</sst>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20">
    <xf numFmtId="0" fontId="0" fillId="0" borderId="0" xfId="0"/>
    <xf numFmtId="0" fontId="0" fillId="0" borderId="0" xfId="0" applyAlignment="1">
      <alignment horizontal="right"/>
    </xf>
    <xf numFmtId="164" fontId="2" fillId="3" borderId="1" xfId="2" applyNumberFormat="1" applyAlignment="1">
      <alignment horizontal="right"/>
    </xf>
    <xf numFmtId="2" fontId="2" fillId="3" borderId="1" xfId="2" applyNumberFormat="1" applyAlignment="1">
      <alignment horizontal="right"/>
    </xf>
    <xf numFmtId="1" fontId="2" fillId="3" borderId="1" xfId="2" applyNumberFormat="1" applyAlignment="1">
      <alignment horizontal="right"/>
    </xf>
    <xf numFmtId="1" fontId="3" fillId="0" borderId="1" xfId="2" applyNumberFormat="1" applyFont="1" applyFill="1" applyAlignment="1">
      <alignment horizontal="right"/>
    </xf>
    <xf numFmtId="2" fontId="3" fillId="0" borderId="1" xfId="2" applyNumberFormat="1" applyFont="1" applyFill="1" applyAlignment="1">
      <alignment horizontal="right"/>
    </xf>
    <xf numFmtId="164" fontId="3" fillId="0" borderId="1" xfId="2" applyNumberFormat="1" applyFont="1" applyFill="1" applyAlignment="1">
      <alignment horizontal="right"/>
    </xf>
    <xf numFmtId="1" fontId="1" fillId="2" borderId="1" xfId="1" applyNumberFormat="1" applyAlignment="1" applyProtection="1">
      <alignment horizontal="right"/>
      <protection locked="0"/>
    </xf>
    <xf numFmtId="164" fontId="1" fillId="2" borderId="1" xfId="1" applyNumberFormat="1" applyAlignment="1" applyProtection="1">
      <alignment horizontal="right"/>
      <protection locked="0"/>
    </xf>
    <xf numFmtId="0" fontId="1" fillId="2" borderId="1" xfId="1" applyAlignment="1" applyProtection="1">
      <alignment horizontal="left"/>
      <protection locked="0"/>
    </xf>
    <xf numFmtId="2" fontId="1" fillId="2" borderId="1" xfId="1" applyNumberFormat="1" applyAlignment="1" applyProtection="1">
      <alignment horizontal="right"/>
      <protection locked="0"/>
    </xf>
    <xf numFmtId="0" fontId="0" fillId="0" borderId="0" xfId="0" applyAlignment="1">
      <alignment vertical="top" wrapText="1"/>
    </xf>
    <xf numFmtId="0" fontId="1" fillId="2" borderId="1" xfId="1" applyAlignment="1">
      <alignment vertical="top"/>
    </xf>
    <xf numFmtId="0" fontId="2" fillId="3" borderId="1" xfId="2" applyAlignment="1">
      <alignment vertical="top"/>
    </xf>
    <xf numFmtId="0" fontId="4" fillId="0" borderId="0" xfId="0" applyFont="1"/>
    <xf numFmtId="0" fontId="5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7A59-A57E-411B-BFCE-1B1132CF042E}">
  <sheetPr codeName="Blad1"/>
  <dimension ref="B1:B19"/>
  <sheetViews>
    <sheetView tabSelected="1" workbookViewId="0"/>
  </sheetViews>
  <sheetFormatPr defaultRowHeight="15" x14ac:dyDescent="0.25"/>
  <cols>
    <col min="1" max="1" width="2.7109375" customWidth="1"/>
    <col min="2" max="2" width="80.7109375" customWidth="1"/>
  </cols>
  <sheetData>
    <row r="1" spans="2:2" x14ac:dyDescent="0.25">
      <c r="B1" s="15" t="s">
        <v>14</v>
      </c>
    </row>
    <row r="2" spans="2:2" ht="30" x14ac:dyDescent="0.25">
      <c r="B2" s="12" t="s">
        <v>30</v>
      </c>
    </row>
    <row r="3" spans="2:2" x14ac:dyDescent="0.25">
      <c r="B3" s="13" t="s">
        <v>11</v>
      </c>
    </row>
    <row r="4" spans="2:2" x14ac:dyDescent="0.25">
      <c r="B4" s="14" t="s">
        <v>12</v>
      </c>
    </row>
    <row r="5" spans="2:2" ht="30" x14ac:dyDescent="0.25">
      <c r="B5" s="12" t="s">
        <v>13</v>
      </c>
    </row>
    <row r="7" spans="2:2" x14ac:dyDescent="0.25">
      <c r="B7" s="15" t="s">
        <v>15</v>
      </c>
    </row>
    <row r="8" spans="2:2" ht="45" x14ac:dyDescent="0.25">
      <c r="B8" s="12" t="s">
        <v>24</v>
      </c>
    </row>
    <row r="9" spans="2:2" x14ac:dyDescent="0.25">
      <c r="B9" s="16" t="s">
        <v>16</v>
      </c>
    </row>
    <row r="10" spans="2:2" x14ac:dyDescent="0.25">
      <c r="B10" s="12" t="s">
        <v>17</v>
      </c>
    </row>
    <row r="11" spans="2:2" x14ac:dyDescent="0.25">
      <c r="B11" s="16" t="s">
        <v>19</v>
      </c>
    </row>
    <row r="12" spans="2:2" x14ac:dyDescent="0.25">
      <c r="B12" s="12" t="s">
        <v>18</v>
      </c>
    </row>
    <row r="13" spans="2:2" x14ac:dyDescent="0.25">
      <c r="B13" s="16" t="s">
        <v>20</v>
      </c>
    </row>
    <row r="14" spans="2:2" ht="30" x14ac:dyDescent="0.25">
      <c r="B14" s="12" t="s">
        <v>21</v>
      </c>
    </row>
    <row r="15" spans="2:2" x14ac:dyDescent="0.25">
      <c r="B15" s="16" t="s">
        <v>23</v>
      </c>
    </row>
    <row r="16" spans="2:2" ht="30" x14ac:dyDescent="0.25">
      <c r="B16" s="12" t="s">
        <v>22</v>
      </c>
    </row>
    <row r="18" spans="2:2" x14ac:dyDescent="0.25">
      <c r="B18" s="15" t="s">
        <v>31</v>
      </c>
    </row>
    <row r="19" spans="2:2" x14ac:dyDescent="0.25">
      <c r="B19" s="12" t="s">
        <v>32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A5611-BFE0-4E9E-B329-F69A6B9E8FE9}">
  <sheetPr codeName="Blad2">
    <pageSetUpPr fitToPage="1"/>
  </sheetPr>
  <dimension ref="A1:I23"/>
  <sheetViews>
    <sheetView workbookViewId="0"/>
  </sheetViews>
  <sheetFormatPr defaultRowHeight="15" x14ac:dyDescent="0.25"/>
  <cols>
    <col min="1" max="1" width="22.7109375" customWidth="1"/>
    <col min="2" max="2" width="16.7109375" customWidth="1"/>
    <col min="3" max="3" width="19.85546875" bestFit="1" customWidth="1"/>
    <col min="4" max="4" width="16.7109375" customWidth="1"/>
    <col min="5" max="5" width="20" bestFit="1" customWidth="1"/>
    <col min="6" max="6" width="16.7109375" customWidth="1"/>
    <col min="7" max="7" width="19.7109375" bestFit="1" customWidth="1"/>
    <col min="8" max="8" width="16.7109375" customWidth="1"/>
    <col min="9" max="9" width="19.85546875" bestFit="1" customWidth="1"/>
  </cols>
  <sheetData>
    <row r="1" spans="1:9" x14ac:dyDescent="0.25">
      <c r="B1" s="1" t="s">
        <v>0</v>
      </c>
      <c r="D1" s="1" t="s">
        <v>1</v>
      </c>
      <c r="F1" s="1" t="s">
        <v>2</v>
      </c>
    </row>
    <row r="2" spans="1:9" x14ac:dyDescent="0.25">
      <c r="A2" t="s">
        <v>6</v>
      </c>
      <c r="B2" s="8">
        <v>1050</v>
      </c>
      <c r="D2" s="9">
        <v>1.05</v>
      </c>
      <c r="F2" s="8">
        <v>50</v>
      </c>
    </row>
    <row r="3" spans="1:9" ht="9.9499999999999993" customHeight="1" x14ac:dyDescent="0.25"/>
    <row r="4" spans="1:9" x14ac:dyDescent="0.25">
      <c r="A4" t="s">
        <v>0</v>
      </c>
      <c r="B4" s="5">
        <f>B2</f>
        <v>1050</v>
      </c>
      <c r="D4" s="4">
        <f>D2*1000</f>
        <v>1050</v>
      </c>
      <c r="E4" t="str">
        <f t="shared" ref="E4" ca="1" si="0">_xlfn.FORMULATEXT(D4)</f>
        <v>=D2*1000</v>
      </c>
      <c r="F4" s="4">
        <f>F2+1000</f>
        <v>1050</v>
      </c>
      <c r="G4" t="str">
        <f t="shared" ref="G4" ca="1" si="1">_xlfn.FORMULATEXT(F4)</f>
        <v>=F2+1000</v>
      </c>
    </row>
    <row r="5" spans="1:9" x14ac:dyDescent="0.25">
      <c r="A5" t="s">
        <v>1</v>
      </c>
      <c r="B5" s="2">
        <f>B2/1000</f>
        <v>1.05</v>
      </c>
      <c r="C5" t="str">
        <f t="shared" ref="C5:C11" ca="1" si="2">_xlfn.FORMULATEXT(B5)</f>
        <v>=B2/1000</v>
      </c>
      <c r="D5" s="7">
        <f>D2</f>
        <v>1.05</v>
      </c>
      <c r="F5" s="2">
        <f>(F2+1000)/1000</f>
        <v>1.05</v>
      </c>
      <c r="G5" t="str">
        <f t="shared" ref="G5" ca="1" si="3">_xlfn.FORMULATEXT(F5)</f>
        <v>=(F2+1000)/1000</v>
      </c>
    </row>
    <row r="6" spans="1:9" x14ac:dyDescent="0.25">
      <c r="A6" t="s">
        <v>2</v>
      </c>
      <c r="B6" s="4">
        <f>B2-1000</f>
        <v>50</v>
      </c>
      <c r="C6" t="str">
        <f t="shared" ca="1" si="2"/>
        <v>=B2-1000</v>
      </c>
      <c r="D6" s="4">
        <f>1000*(D2-1)</f>
        <v>50.000000000000043</v>
      </c>
      <c r="E6" t="str">
        <f t="shared" ref="E6" ca="1" si="4">_xlfn.FORMULATEXT(D6)</f>
        <v>=1000*(D2-1)</v>
      </c>
      <c r="F6" s="5">
        <f>F2</f>
        <v>50</v>
      </c>
    </row>
    <row r="7" spans="1:9" x14ac:dyDescent="0.25">
      <c r="A7" t="s">
        <v>4</v>
      </c>
      <c r="B7" s="3">
        <f>250*(B5-1)</f>
        <v>12.500000000000011</v>
      </c>
      <c r="C7" t="str">
        <f t="shared" ca="1" si="2"/>
        <v>=250*(B5-1)</v>
      </c>
      <c r="D7" s="3">
        <f>250*(D2-1)</f>
        <v>12.500000000000011</v>
      </c>
      <c r="E7" t="str">
        <f t="shared" ref="E7" ca="1" si="5">_xlfn.FORMULATEXT(D7)</f>
        <v>=250*(D2-1)</v>
      </c>
      <c r="F7" s="3">
        <f>F2/4</f>
        <v>12.5</v>
      </c>
      <c r="G7" t="str">
        <f t="shared" ref="G7" ca="1" si="6">_xlfn.FORMULATEXT(F7)</f>
        <v>=F2/4</v>
      </c>
    </row>
    <row r="8" spans="1:9" x14ac:dyDescent="0.25">
      <c r="A8" t="s">
        <v>7</v>
      </c>
      <c r="B8" s="3">
        <f>PlatoBrixFactor*B7</f>
        <v>13.000000000000011</v>
      </c>
      <c r="C8" t="str">
        <f t="shared" ca="1" si="2"/>
        <v>=PlatoBrixFactor*B7</v>
      </c>
      <c r="D8" s="3">
        <f>PlatoBrixFactor*D7</f>
        <v>13.000000000000011</v>
      </c>
      <c r="E8" t="str">
        <f t="shared" ref="E8" ca="1" si="7">_xlfn.FORMULATEXT(D8)</f>
        <v>=PlatoBrixFactor*D7</v>
      </c>
      <c r="F8" s="3">
        <f>PlatoBrixFactor*F7</f>
        <v>13</v>
      </c>
      <c r="G8" t="str">
        <f t="shared" ref="G8" ca="1" si="8">_xlfn.FORMULATEXT(F8)</f>
        <v>=PlatoBrixFactor*F7</v>
      </c>
    </row>
    <row r="9" spans="1:9" ht="9.9499999999999993" customHeight="1" x14ac:dyDescent="0.25"/>
    <row r="10" spans="1:9" x14ac:dyDescent="0.25">
      <c r="A10" t="s">
        <v>5</v>
      </c>
      <c r="B10" s="3">
        <f>259-259/B5</f>
        <v>12.333333333333343</v>
      </c>
      <c r="C10" t="str">
        <f t="shared" ca="1" si="2"/>
        <v>=259-259/B5</v>
      </c>
      <c r="D10" s="3">
        <f>259-259/D2</f>
        <v>12.333333333333343</v>
      </c>
      <c r="E10" t="str">
        <f t="shared" ref="E10:E11" ca="1" si="9">_xlfn.FORMULATEXT(D10)</f>
        <v>=259-259/D2</v>
      </c>
      <c r="F10" s="3">
        <f>259-259/F5</f>
        <v>12.333333333333343</v>
      </c>
      <c r="G10" t="str">
        <f t="shared" ref="G10:G11" ca="1" si="10">_xlfn.FORMULATEXT(F10)</f>
        <v>=259-259/F5</v>
      </c>
    </row>
    <row r="11" spans="1:9" x14ac:dyDescent="0.25">
      <c r="A11" t="s">
        <v>7</v>
      </c>
      <c r="B11" s="3">
        <f>PlatoBrixFactor*B10</f>
        <v>12.826666666666677</v>
      </c>
      <c r="C11" t="str">
        <f t="shared" ca="1" si="2"/>
        <v>=PlatoBrixFactor*B10</v>
      </c>
      <c r="D11" s="3">
        <f>PlatoBrixFactor*D10</f>
        <v>12.826666666666677</v>
      </c>
      <c r="E11" t="str">
        <f t="shared" ca="1" si="9"/>
        <v>=PlatoBrixFactor*D10</v>
      </c>
      <c r="F11" s="3">
        <f>PlatoBrixFactor*F10</f>
        <v>12.826666666666677</v>
      </c>
      <c r="G11" t="str">
        <f t="shared" ca="1" si="10"/>
        <v>=PlatoBrixFactor*F10</v>
      </c>
    </row>
    <row r="14" spans="1:9" x14ac:dyDescent="0.25">
      <c r="A14" t="s">
        <v>8</v>
      </c>
    </row>
    <row r="15" spans="1:9" x14ac:dyDescent="0.25">
      <c r="A15" s="10">
        <v>1.04</v>
      </c>
      <c r="B15" s="17" t="s">
        <v>9</v>
      </c>
      <c r="C15" s="18"/>
      <c r="D15" s="18"/>
      <c r="E15" s="19"/>
      <c r="F15" s="17" t="s">
        <v>10</v>
      </c>
      <c r="G15" s="18"/>
      <c r="H15" s="18"/>
      <c r="I15" s="19"/>
    </row>
    <row r="16" spans="1:9" x14ac:dyDescent="0.25">
      <c r="B16" s="1" t="s">
        <v>3</v>
      </c>
      <c r="D16" s="1" t="s">
        <v>7</v>
      </c>
      <c r="F16" s="1" t="s">
        <v>3</v>
      </c>
      <c r="H16" s="1" t="s">
        <v>7</v>
      </c>
    </row>
    <row r="17" spans="1:9" x14ac:dyDescent="0.25">
      <c r="A17" t="s">
        <v>6</v>
      </c>
      <c r="B17" s="11">
        <v>12.5</v>
      </c>
      <c r="D17" s="11">
        <v>13</v>
      </c>
      <c r="F17" s="11">
        <v>12.5</v>
      </c>
      <c r="H17" s="11">
        <v>13</v>
      </c>
    </row>
    <row r="19" spans="1:9" x14ac:dyDescent="0.25">
      <c r="A19" t="s">
        <v>0</v>
      </c>
      <c r="B19" s="4">
        <f>B20*1000</f>
        <v>1050</v>
      </c>
      <c r="C19" t="str">
        <f ca="1">_xlfn.FORMULATEXT(B19)</f>
        <v>=B20*1000</v>
      </c>
      <c r="D19" s="4">
        <f>D20*1000</f>
        <v>1050</v>
      </c>
      <c r="E19" t="str">
        <f t="shared" ref="E19" ca="1" si="11">_xlfn.FORMULATEXT(D19)</f>
        <v>=D20*1000</v>
      </c>
      <c r="F19" s="4">
        <f>F20*1000</f>
        <v>1050.7099391480731</v>
      </c>
      <c r="G19" t="str">
        <f ca="1">_xlfn.FORMULATEXT(F19)</f>
        <v>=F20*1000</v>
      </c>
      <c r="H19" s="4">
        <f>H20*1000</f>
        <v>1050.7099391480731</v>
      </c>
      <c r="I19" t="str">
        <f t="shared" ref="I19:I21" ca="1" si="12">_xlfn.FORMULATEXT(H19)</f>
        <v>=H20*1000</v>
      </c>
    </row>
    <row r="20" spans="1:9" x14ac:dyDescent="0.25">
      <c r="A20" t="s">
        <v>1</v>
      </c>
      <c r="B20" s="2">
        <f>1+B22/250</f>
        <v>1.05</v>
      </c>
      <c r="C20" t="str">
        <f ca="1">_xlfn.FORMULATEXT(B20)</f>
        <v>=1+B22/250</v>
      </c>
      <c r="D20" s="2">
        <f>1+D22/250</f>
        <v>1.05</v>
      </c>
      <c r="E20" t="str">
        <f t="shared" ref="E20:E21" ca="1" si="13">_xlfn.FORMULATEXT(D20)</f>
        <v>=1+D22/250</v>
      </c>
      <c r="F20" s="2">
        <f>259/(259-F22)</f>
        <v>1.050709939148073</v>
      </c>
      <c r="G20" t="str">
        <f ca="1">_xlfn.FORMULATEXT(F20)</f>
        <v>=259/(259-F22)</v>
      </c>
      <c r="H20" s="2">
        <f>259/(259-H22)</f>
        <v>1.050709939148073</v>
      </c>
      <c r="I20" t="str">
        <f t="shared" ca="1" si="12"/>
        <v>=259/(259-H22)</v>
      </c>
    </row>
    <row r="21" spans="1:9" x14ac:dyDescent="0.25">
      <c r="A21" t="s">
        <v>2</v>
      </c>
      <c r="B21" s="4">
        <f>4*B22</f>
        <v>50</v>
      </c>
      <c r="C21" t="str">
        <f ca="1">_xlfn.FORMULATEXT(B21)</f>
        <v>=4*B22</v>
      </c>
      <c r="D21" s="4">
        <f>4*D22</f>
        <v>50</v>
      </c>
      <c r="E21" t="str">
        <f t="shared" ca="1" si="13"/>
        <v>=4*D22</v>
      </c>
      <c r="F21" s="4">
        <f>4*F22</f>
        <v>50</v>
      </c>
      <c r="G21" t="str">
        <f ca="1">_xlfn.FORMULATEXT(F21)</f>
        <v>=4*F22</v>
      </c>
      <c r="H21" s="4">
        <f>4*H22</f>
        <v>50</v>
      </c>
      <c r="I21" t="str">
        <f t="shared" ca="1" si="12"/>
        <v>=4*H22</v>
      </c>
    </row>
    <row r="22" spans="1:9" x14ac:dyDescent="0.25">
      <c r="A22" t="s">
        <v>3</v>
      </c>
      <c r="B22" s="6">
        <f>B17</f>
        <v>12.5</v>
      </c>
      <c r="D22" s="3">
        <f>D17/PlatoBrixFactor</f>
        <v>12.5</v>
      </c>
      <c r="E22" t="str">
        <f t="shared" ref="E22" ca="1" si="14">_xlfn.FORMULATEXT(D22)</f>
        <v>=D17/PlatoBrixFactor</v>
      </c>
      <c r="F22" s="6">
        <f>F17</f>
        <v>12.5</v>
      </c>
      <c r="H22" s="3">
        <f>H17/PlatoBrixFactor</f>
        <v>12.5</v>
      </c>
      <c r="I22" t="str">
        <f t="shared" ref="I22" ca="1" si="15">_xlfn.FORMULATEXT(H22)</f>
        <v>=H17/PlatoBrixFactor</v>
      </c>
    </row>
    <row r="23" spans="1:9" x14ac:dyDescent="0.25">
      <c r="A23" t="s">
        <v>7</v>
      </c>
      <c r="B23" s="3">
        <f>PlatoBrixFactor*B17</f>
        <v>13</v>
      </c>
      <c r="C23" t="str">
        <f ca="1">_xlfn.FORMULATEXT(B23)</f>
        <v>=PlatoBrixFactor*B17</v>
      </c>
      <c r="D23" s="6">
        <f>D17</f>
        <v>13</v>
      </c>
      <c r="F23" s="3">
        <f>PlatoBrixFactor*F17</f>
        <v>13</v>
      </c>
      <c r="G23" t="str">
        <f ca="1">_xlfn.FORMULATEXT(F23)</f>
        <v>=PlatoBrixFactor*F17</v>
      </c>
      <c r="H23" s="6">
        <f>H17</f>
        <v>13</v>
      </c>
    </row>
  </sheetData>
  <sheetProtection sheet="1" objects="1" scenarios="1"/>
  <mergeCells count="2">
    <mergeCell ref="F15:I15"/>
    <mergeCell ref="B15:E15"/>
  </mergeCells>
  <printOptions headings="1" gridLines="1"/>
  <pageMargins left="0.19685039370078741" right="0.19685039370078741" top="0.94488188976377963" bottom="0.74803149606299213" header="0.31496062992125984" footer="0.31496062992125984"/>
  <pageSetup paperSize="9"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71D24-A9BB-44A2-B43A-E959C50995D6}">
  <sheetPr codeName="Blad3"/>
  <dimension ref="A1:C23"/>
  <sheetViews>
    <sheetView workbookViewId="0"/>
  </sheetViews>
  <sheetFormatPr defaultRowHeight="15" x14ac:dyDescent="0.25"/>
  <cols>
    <col min="1" max="1" width="21" bestFit="1" customWidth="1"/>
    <col min="2" max="2" width="14.5703125" customWidth="1"/>
    <col min="3" max="3" width="25.28515625" bestFit="1" customWidth="1"/>
  </cols>
  <sheetData>
    <row r="1" spans="1:3" x14ac:dyDescent="0.25">
      <c r="B1" s="1" t="s">
        <v>1</v>
      </c>
    </row>
    <row r="2" spans="1:3" x14ac:dyDescent="0.25">
      <c r="A2" t="s">
        <v>6</v>
      </c>
      <c r="B2" s="9">
        <v>1.05</v>
      </c>
    </row>
    <row r="3" spans="1:3" x14ac:dyDescent="0.25">
      <c r="A3" t="s">
        <v>4</v>
      </c>
      <c r="B3" s="3">
        <f>SG2Plato(B2)</f>
        <v>12.499988555908203</v>
      </c>
      <c r="C3" t="str">
        <f ca="1">_xlfn.FORMULATEXT(B3)</f>
        <v>=SG2Plato(B2)</v>
      </c>
    </row>
    <row r="4" spans="1:3" x14ac:dyDescent="0.25">
      <c r="A4" t="s">
        <v>4</v>
      </c>
      <c r="B4" s="3">
        <f>SG2Plato(B2,"simpel")</f>
        <v>12.499988555908203</v>
      </c>
      <c r="C4" t="str">
        <f ca="1">_xlfn.FORMULATEXT(B4)</f>
        <v>=SG2Plato(B2;"simpel")</v>
      </c>
    </row>
    <row r="5" spans="1:3" x14ac:dyDescent="0.25">
      <c r="A5" t="s">
        <v>25</v>
      </c>
      <c r="B5" s="3">
        <f>SG2Plato(B2,"clerck")</f>
        <v>12.333322525024414</v>
      </c>
      <c r="C5" t="str">
        <f ca="1">_xlfn.FORMULATEXT(B5)</f>
        <v>=SG2Plato(B2;"clerck")</v>
      </c>
    </row>
    <row r="6" spans="1:3" x14ac:dyDescent="0.25">
      <c r="A6" t="s">
        <v>26</v>
      </c>
      <c r="B6" s="3">
        <f>Plato2Brix(B3)</f>
        <v>12.999988555908203</v>
      </c>
      <c r="C6" t="str">
        <f ca="1">_xlfn.FORMULATEXT(B6)</f>
        <v>=Plato2Brix(B3)</v>
      </c>
    </row>
    <row r="8" spans="1:3" x14ac:dyDescent="0.25">
      <c r="B8" s="1" t="s">
        <v>3</v>
      </c>
    </row>
    <row r="9" spans="1:3" x14ac:dyDescent="0.25">
      <c r="A9" t="s">
        <v>6</v>
      </c>
      <c r="B9" s="11">
        <v>12.5</v>
      </c>
    </row>
    <row r="10" spans="1:3" x14ac:dyDescent="0.25">
      <c r="A10" t="s">
        <v>27</v>
      </c>
      <c r="B10" s="2">
        <f>Plato2SG(B9)</f>
        <v>1.0499999523162842</v>
      </c>
      <c r="C10" t="str">
        <f ca="1">_xlfn.FORMULATEXT(B10)</f>
        <v>=Plato2SG(B9)</v>
      </c>
    </row>
    <row r="11" spans="1:3" x14ac:dyDescent="0.25">
      <c r="A11" t="s">
        <v>27</v>
      </c>
      <c r="B11" s="2">
        <f>Plato2SG(B9,"simpel")</f>
        <v>1.0499999523162842</v>
      </c>
      <c r="C11" t="str">
        <f ca="1">_xlfn.FORMULATEXT(B11)</f>
        <v>=Plato2SG(B9;"simpel")</v>
      </c>
    </row>
    <row r="12" spans="1:3" x14ac:dyDescent="0.25">
      <c r="A12" t="s">
        <v>28</v>
      </c>
      <c r="B12" s="2">
        <f>Plato2SG(B9,"clerck")</f>
        <v>1.0507099628448486</v>
      </c>
      <c r="C12" t="str">
        <f ca="1">_xlfn.FORMULATEXT(B12)</f>
        <v>=Plato2SG(B9;"clerck")</v>
      </c>
    </row>
    <row r="13" spans="1:3" x14ac:dyDescent="0.25">
      <c r="A13" t="s">
        <v>7</v>
      </c>
      <c r="B13" s="3">
        <f>Plato2Brix(B9)</f>
        <v>13</v>
      </c>
      <c r="C13" t="str">
        <f ca="1">_xlfn.FORMULATEXT(B13)</f>
        <v>=Plato2Brix(B9)</v>
      </c>
    </row>
    <row r="15" spans="1:3" x14ac:dyDescent="0.25">
      <c r="B15" s="1" t="s">
        <v>7</v>
      </c>
    </row>
    <row r="16" spans="1:3" x14ac:dyDescent="0.25">
      <c r="A16" t="s">
        <v>6</v>
      </c>
      <c r="B16" s="11">
        <v>13</v>
      </c>
    </row>
    <row r="17" spans="1:3" x14ac:dyDescent="0.25">
      <c r="A17" t="s">
        <v>3</v>
      </c>
      <c r="B17" s="3">
        <f>Brix2Plato(B16)</f>
        <v>12.5</v>
      </c>
      <c r="C17" t="str">
        <f ca="1">_xlfn.FORMULATEXT(B17)</f>
        <v>=Brix2Plato(B16)</v>
      </c>
    </row>
    <row r="18" spans="1:3" x14ac:dyDescent="0.25">
      <c r="A18" t="s">
        <v>27</v>
      </c>
      <c r="B18" s="2">
        <f>Plato2SG(B17)</f>
        <v>1.0499999523162842</v>
      </c>
      <c r="C18" t="str">
        <f ca="1">_xlfn.FORMULATEXT(B18)</f>
        <v>=Plato2SG(B17)</v>
      </c>
    </row>
    <row r="19" spans="1:3" x14ac:dyDescent="0.25">
      <c r="A19" t="s">
        <v>27</v>
      </c>
      <c r="B19" s="2">
        <f>Plato2SG(B17,"simpel")</f>
        <v>1.0499999523162842</v>
      </c>
      <c r="C19" t="str">
        <f ca="1">_xlfn.FORMULATEXT(B19)</f>
        <v>=Plato2SG(B17;"simpel")</v>
      </c>
    </row>
    <row r="20" spans="1:3" x14ac:dyDescent="0.25">
      <c r="A20" t="s">
        <v>28</v>
      </c>
      <c r="B20" s="2">
        <f>Plato2SG(B17,"clerck")</f>
        <v>1.0507099628448486</v>
      </c>
      <c r="C20" t="str">
        <f ca="1">_xlfn.FORMULATEXT(B20)</f>
        <v>=Plato2SG(B17;"clerck")</v>
      </c>
    </row>
    <row r="22" spans="1:3" x14ac:dyDescent="0.25">
      <c r="A22" t="s">
        <v>29</v>
      </c>
    </row>
    <row r="23" spans="1:3" x14ac:dyDescent="0.25">
      <c r="A23" t="s">
        <v>27</v>
      </c>
      <c r="B23" s="2">
        <f>Plato2SG(Brix2Plato(B16))</f>
        <v>1.0499999523162842</v>
      </c>
      <c r="C23" t="str">
        <f ca="1">_xlfn.FORMULATEXT(B23)</f>
        <v>=Plato2SG(Brix2Plato(B16))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leesme</vt:lpstr>
      <vt:lpstr>omrekenen</vt:lpstr>
      <vt:lpstr>functies</vt:lpstr>
      <vt:lpstr>PlatoBrixFactor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benw</dc:creator>
  <cp:lastModifiedBy>benw</cp:lastModifiedBy>
  <cp:lastPrinted>2018-12-30T14:27:01Z</cp:lastPrinted>
  <dcterms:created xsi:type="dcterms:W3CDTF">2018-12-30T10:30:18Z</dcterms:created>
  <dcterms:modified xsi:type="dcterms:W3CDTF">2018-12-30T14:30:26Z</dcterms:modified>
</cp:coreProperties>
</file>